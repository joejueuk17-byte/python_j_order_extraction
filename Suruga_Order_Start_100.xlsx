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FF"/>
    </font>
    <font>
      <strike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0:V116"/>
  <sheetViews>
    <sheetView workbookViewId="0">
      <selection activeCell="A1" sqref="A1"/>
    </sheetView>
  </sheetViews>
  <sheetFormatPr baseColWidth="8" defaultRowHeight="15"/>
  <sheetData>
    <row r="100">
      <c r="A100" t="inlineStr">
        <is>
          <t>19 Jan 2026</t>
        </is>
      </c>
      <c r="B100">
        <f>HYPERLINK("https://www.suruga-ya.com/en/product/871180658", "Satoru Gojo, Natsu Yuketsu &amp; Jinni Fushiguro Collection metal badge 3-piece Set 2nd "Jujutsu Kaisen"")</f>
        <v/>
      </c>
      <c r="F100" s="1" t="n">
        <v>703</v>
      </c>
      <c r="G100" s="2" t="n">
        <v>938</v>
      </c>
      <c r="H100">
        <f>SUM($H$100:$H$115)</f>
        <v/>
      </c>
      <c r="I100">
        <f>$G100*$Q$100</f>
        <v/>
      </c>
      <c r="P100">
        <f>$R$100/($S$100-900+$V$100)</f>
        <v/>
      </c>
      <c r="T100">
        <f>SUM($G$100:$G$115)</f>
        <v/>
      </c>
      <c r="U100">
        <f>SUM($F$100:$F$115)</f>
        <v/>
      </c>
      <c r="V100">
        <f>$T$100-$U$100</f>
        <v/>
      </c>
    </row>
    <row r="101">
      <c r="A101" t="inlineStr">
        <is>
          <t>19 Jan 2026</t>
        </is>
      </c>
      <c r="B101">
        <f>HYPERLINK("https://www.suruga-ya.com/en/product/602291454", "Kana Arima (Nurse Ver.) "[Suguki no Ko]" 1/7 Painted Finished Product GIGO Only")</f>
        <v/>
      </c>
      <c r="F101" s="1" t="n">
        <v>797</v>
      </c>
      <c r="G101" s="2" t="n">
        <v>1063</v>
      </c>
      <c r="I101">
        <f>$G101*$Q$100</f>
        <v/>
      </c>
    </row>
    <row r="102">
      <c r="A102" t="inlineStr">
        <is>
          <t>19 Jan 2026</t>
        </is>
      </c>
      <c r="B102">
        <f>HYPERLINK("https://www.suruga-ya.com/en/product/646205348", "All 2 types set Shiburu Plush toy "DRAGON QUEST Fuyoke Sho Special ~ The Legend of Lot ~" Shiburu Shiburu De prize")</f>
        <v/>
      </c>
      <c r="F102" s="1" t="n">
        <v>776</v>
      </c>
      <c r="G102" s="2" t="n">
        <v>1035</v>
      </c>
      <c r="I102">
        <f>$G102*$Q$100</f>
        <v/>
      </c>
    </row>
    <row r="103">
      <c r="A103" t="inlineStr">
        <is>
          <t>19 Jan 2026</t>
        </is>
      </c>
      <c r="B103">
        <f>HYPERLINK("https://www.suruga-ya.com/en/product/185258478", "Great Anatomy Best Series GeGeGe-no-Kitaro")</f>
        <v/>
      </c>
      <c r="F103" s="1" t="n">
        <v>1242</v>
      </c>
      <c r="G103" s="2" t="n">
        <v>1656</v>
      </c>
      <c r="I103">
        <f>$G103*$Q$100</f>
        <v/>
      </c>
    </row>
    <row r="104">
      <c r="A104" t="inlineStr">
        <is>
          <t>19 Jan 2026</t>
        </is>
      </c>
      <c r="B104">
        <f>HYPERLINK("https://www.suruga-ya.com/en/product/185251785", "TV Anime 『 Jujutsu Kaisen 』 Kaedama and Tamaori / Shibuya Incident Official Guidebook "Aizo Version Comics"")</f>
        <v/>
      </c>
      <c r="F104" s="1" t="n">
        <v>1552</v>
      </c>
      <c r="G104" s="2" t="n">
        <v>2070</v>
      </c>
      <c r="I104">
        <f>$G104*$Q$100</f>
        <v/>
      </c>
    </row>
    <row r="105">
      <c r="A105" t="inlineStr">
        <is>
          <t>19 Jan 2026</t>
        </is>
      </c>
      <c r="B105">
        <f>HYPERLINK("https://www.suruga-ya.com/en/product/646176740", "Yoshihisa HOSHINO AUKAI (AQUA) OSSEI Plush toy "SUSUKI NO KO"")</f>
        <v/>
      </c>
      <c r="F105" s="1" t="n">
        <v>703</v>
      </c>
      <c r="G105" s="2" t="n">
        <v>938</v>
      </c>
      <c r="I105">
        <f>$G105*$Q$100</f>
        <v/>
      </c>
    </row>
    <row r="106">
      <c r="A106" t="inlineStr">
        <is>
          <t>19 Jan 2026</t>
        </is>
      </c>
      <c r="B106">
        <f>HYPERLINK("https://www.suruga-ya.com/en/product/646199964", "Ruby Pettatto Whirlwind Plush toy vol. 1 "Oshi no Ko" Geo limited")</f>
        <v/>
      </c>
      <c r="F106" s="1" t="n">
        <v>828</v>
      </c>
      <c r="G106" s="2" t="n">
        <v>1104</v>
      </c>
      <c r="I106">
        <f>$G106*$Q$100</f>
        <v/>
      </c>
    </row>
    <row r="107">
      <c r="A107" t="inlineStr">
        <is>
          <t>19 Jan 2026</t>
        </is>
      </c>
      <c r="B107">
        <f>HYPERLINK("https://www.suruga-ya.com/en/product/185009065", "Senjin and Wonder-Town Guide to Thorough Spirited Away")</f>
        <v/>
      </c>
      <c r="F107" s="1" t="n">
        <v>487</v>
      </c>
      <c r="G107" s="2" t="n">
        <v>650</v>
      </c>
      <c r="I107">
        <f>$G107*$Q$100</f>
        <v/>
      </c>
    </row>
    <row r="108">
      <c r="A108" t="inlineStr">
        <is>
          <t>19 Jan 2026</t>
        </is>
      </c>
      <c r="B108">
        <f>HYPERLINK("https://www.suruga-ya.com/en/product/185018585", "My Neighbor TOTORO : This Is Animation")</f>
        <v/>
      </c>
      <c r="F108" s="1" t="n">
        <v>787</v>
      </c>
      <c r="G108" s="2" t="n">
        <v>1049</v>
      </c>
      <c r="I108">
        <f>$G108*$Q$100</f>
        <v/>
      </c>
    </row>
    <row r="109">
      <c r="A109" t="inlineStr">
        <is>
          <t>19 Jan 2026</t>
        </is>
      </c>
      <c r="B109">
        <f>HYPERLINK("https://www.suruga-ya.com/en/product/992012424", "Shotaro &amp; Nakamata Glass "JOJO'S BIZARRE ADVENTURE Part 3 Stardust Crusaders"")</f>
        <v/>
      </c>
      <c r="F109" s="1" t="n">
        <v>859</v>
      </c>
      <c r="G109" s="2" t="n">
        <v>1145</v>
      </c>
      <c r="I109">
        <f>$G109*$Q$100</f>
        <v/>
      </c>
    </row>
    <row r="110">
      <c r="A110" t="inlineStr">
        <is>
          <t>19 Jan 2026</t>
        </is>
      </c>
      <c r="B110">
        <f>HYPERLINK("https://www.suruga-ya.com/en/product/992068263", "Snoopy &amp; Woodstock Trading 2 Glass Set 「 PEANUTS (SNOOPY) x Lawson Summer 2019 Snoopy Fair 」 Sanrio Snoopy Eye Car KUJI 11 Premium")</f>
        <v/>
      </c>
      <c r="F110" s="1" t="n">
        <v>1024</v>
      </c>
      <c r="G110" s="2" t="n">
        <v>1366</v>
      </c>
      <c r="I110">
        <f>$G110*$Q$100</f>
        <v/>
      </c>
    </row>
    <row r="111">
      <c r="A111" t="inlineStr">
        <is>
          <t>19 Jan 2026</t>
        </is>
      </c>
      <c r="B111">
        <f>HYPERLINK("https://www.suruga-ya.com/en/product/601059598", "COOKING TIME (Hat : Yellow) 「 Snoopy Premium Figure World of Snoopy 」")</f>
        <v/>
      </c>
      <c r="F111" s="1" t="n">
        <v>1242</v>
      </c>
      <c r="G111" s="2" t="n">
        <v>1656</v>
      </c>
      <c r="I111">
        <f>$G111*$Q$100</f>
        <v/>
      </c>
    </row>
    <row r="112">
      <c r="A112" t="inlineStr">
        <is>
          <t>19 Jan 2026</t>
        </is>
      </c>
      <c r="B112">
        <f>HYPERLINK("https://www.suruga-ya.com/en/product/992153347", "Little Mii wooden mug "Moomin"")</f>
        <v/>
      </c>
      <c r="F112" s="1" t="n">
        <v>1294</v>
      </c>
      <c r="G112" s="2" t="n">
        <v>1725</v>
      </c>
      <c r="I112">
        <f>$G112*$Q$100</f>
        <v/>
      </c>
    </row>
    <row r="113">
      <c r="A113" t="inlineStr">
        <is>
          <t>19 Jan 2026</t>
        </is>
      </c>
      <c r="B113">
        <f>HYPERLINK("https://www.suruga-ya.com/en/product/992084225", "A Set (Flower) Drink Pot &amp; Glass Set "Moomin"")</f>
        <v/>
      </c>
      <c r="F113" s="1" t="n">
        <v>1822</v>
      </c>
      <c r="G113" s="2" t="n">
        <v>2429</v>
      </c>
      <c r="I113">
        <f>$G113*$Q$100</f>
        <v/>
      </c>
    </row>
    <row r="114">
      <c r="A114" t="inlineStr">
        <is>
          <t>19 Jan 2026</t>
        </is>
      </c>
      <c r="B114">
        <f>HYPERLINK("https://www.suruga-ya.com/en/product/602296080", "Black Magician "Yu-Gi-Oh! Duel Monsters" Equal Arts Figure")</f>
        <v/>
      </c>
      <c r="F114" s="1" t="n">
        <v>1345</v>
      </c>
      <c r="G114" s="2" t="n">
        <v>1794</v>
      </c>
      <c r="I114">
        <f>$G114*$Q$100</f>
        <v/>
      </c>
    </row>
    <row r="115">
      <c r="A115" t="inlineStr">
        <is>
          <t>19 Jan 2026</t>
        </is>
      </c>
      <c r="B115">
        <f>HYPERLINK("https://www.suruga-ya.com/en/product/602288436", "Hatsune Miku "VOCALOID" Noodle stopper Figure Flower Fairy Cosmos")</f>
        <v/>
      </c>
      <c r="F115" s="1" t="n">
        <v>1552</v>
      </c>
      <c r="G115" s="2" t="n">
        <v>2070</v>
      </c>
      <c r="I115">
        <f>$G115*$Q$100</f>
        <v/>
      </c>
    </row>
    <row r="116">
      <c r="B116" t="inlineStr">
        <is>
          <t>updated on 19 Jan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2026-01-22T15:08:54Z</dcterms:created>
  <dcterms:modified xsi:type="dcterms:W3CDTF">2026-01-22T15:08:54Z</dcterms:modified>
</cp:coreProperties>
</file>